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Lenoi\Downloads\"/>
    </mc:Choice>
  </mc:AlternateContent>
  <xr:revisionPtr revIDLastSave="0" documentId="13_ncr:1_{D46EC588-DB60-44F7-A15B-4D29BB3D8BA7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Branch Data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2" i="2" l="1"/>
  <c r="J8" i="2"/>
  <c r="C14" i="1"/>
  <c r="B12" i="2" s="1"/>
  <c r="B14" i="1"/>
  <c r="B8" i="2" s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<sst xmlns="http://schemas.openxmlformats.org/spreadsheetml/2006/main" count="49" uniqueCount="46">
  <si>
    <t>Month</t>
  </si>
  <si>
    <t>Total Deposits (SAR)</t>
  </si>
  <si>
    <t>Loan Applications</t>
  </si>
  <si>
    <t>MoM Deposits</t>
  </si>
  <si>
    <t>MoM Loan Apps</t>
  </si>
  <si>
    <t>Notes</t>
  </si>
  <si>
    <t>Jan 2024</t>
  </si>
  <si>
    <t>—</t>
  </si>
  <si>
    <t>steady start to the year</t>
  </si>
  <si>
    <t>Feb 2024</t>
  </si>
  <si>
    <t>quiet, nothing notable</t>
  </si>
  <si>
    <t>Mar 2024</t>
  </si>
  <si>
    <t>Ramadan — deposits spiked, loan apps dropped</t>
  </si>
  <si>
    <t>Apr 2024</t>
  </si>
  <si>
    <t>Eid Al-Fitr. loan apps picked up fast</t>
  </si>
  <si>
    <t>May 2024</t>
  </si>
  <si>
    <t>highest loan apps all year — post-Eid financing</t>
  </si>
  <si>
    <t>Jun 2024</t>
  </si>
  <si>
    <t>Eid Al-Adha. moderate overall</t>
  </si>
  <si>
    <t>Jul 2024</t>
  </si>
  <si>
    <t>summer lull. foot traffic noticeably lower</t>
  </si>
  <si>
    <t>Aug 2024</t>
  </si>
  <si>
    <t>slight recovery</t>
  </si>
  <si>
    <t>Sep 2024</t>
  </si>
  <si>
    <t>National Day Sep 23 — small uptick</t>
  </si>
  <si>
    <t>Oct 2024</t>
  </si>
  <si>
    <t>solid month, nothing unusual</t>
  </si>
  <si>
    <t>Nov 2024</t>
  </si>
  <si>
    <t>White Friday — more personal loan inquiries than expected</t>
  </si>
  <si>
    <t>Dec 2024</t>
  </si>
  <si>
    <t>year-end bonuses hit accounts</t>
  </si>
  <si>
    <t>Total</t>
  </si>
  <si>
    <t>Sahel Bank  —  Khobar Branch</t>
  </si>
  <si>
    <t>Monthly Performance Dashboard   ·   Jan – Dec 2024</t>
  </si>
  <si>
    <t>Key metrics</t>
  </si>
  <si>
    <t>Total Deposits</t>
  </si>
  <si>
    <t>Avg Monthly Deposits</t>
  </si>
  <si>
    <t>full year</t>
  </si>
  <si>
    <t>monthly average</t>
  </si>
  <si>
    <t>Peak Loan Month</t>
  </si>
  <si>
    <t>peak month</t>
  </si>
  <si>
    <t>Monthly trends</t>
  </si>
  <si>
    <t>↑ Ramadan (March): deposits peaked at 71.4M — the year high — while loan applications fell to 87, the year low. People hold off on new debt during Ramadan.</t>
  </si>
  <si>
    <t>↑ Loan apps peaked in May (178), not April. Most post-Eid financing decisions — car loans especially — took a few weeks to turn into actual applications.</t>
  </si>
  <si>
    <t>↓ July was the weakest month on both metrics: 43.7M in deposits, 98 loan apps. Summer travel hits foot traffic harder than any other seasonal factor.</t>
  </si>
  <si>
    <t>Data reflects typical Eastern Province retail banking patterns  ·  Sahel Bank, Khobar Branch  ·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</si>
</sst>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&quot; M SAR&quot;"/>
    <numFmt numFmtId="166" formatCode="#,##0&quot; apps&quot;"/>
  </numFmts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10"/>
      <color rgb="FF1B2631"/>
      <name val="Calibri"/>
      <charset val="1"/>
    </font>
    <font>
      <sz val="10"/>
      <color rgb="FF7F8C8D"/>
      <name val="Calibri"/>
      <charset val="1"/>
    </font>
    <font>
      <i/>
      <sz val="9"/>
      <color rgb="FF7F8C8D"/>
      <name val="Calibri"/>
      <charset val="1"/>
    </font>
    <font>
      <b/>
      <sz val="10"/>
      <color rgb="FF1B2631"/>
      <name val="Calibri"/>
      <charset val="1"/>
    </font>
    <font>
      <b/>
      <sz val="18"/>
      <color rgb="FFFFFFFF"/>
      <name val="Calibri"/>
      <charset val="1"/>
    </font>
    <font>
      <sz val="10"/>
      <color rgb="FFADC9E0"/>
      <name val="Calibri"/>
      <charset val="1"/>
    </font>
    <font>
      <b/>
      <sz val="8"/>
      <color rgb="FF7F8C8D"/>
      <name val="Calibri"/>
      <charset val="1"/>
    </font>
    <font>
      <sz val="9"/>
      <color rgb="FF7F8C8D"/>
      <name val="Calibri"/>
      <charset val="1"/>
    </font>
    <font>
      <b/>
      <sz val="20"/>
      <color rgb="FF1B2631"/>
      <name val="Calibri"/>
      <charset val="1"/>
    </font>
    <font>
      <i/>
      <sz val="8"/>
      <color rgb="FF7F8C8D"/>
      <name val="Calibri"/>
      <charset val="1"/>
    </font>
    <font>
      <i/>
      <sz val="9"/>
      <color rgb="FF4A4A4A"/>
      <name val="Calibri"/>
      <charset val="1"/>
    </font>
    <font>
      <sz val="8"/>
      <color rgb="FF7F8C8D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2"/>
        <bgColor rgb="FF1B2631"/>
      </patternFill>
    </fill>
    <fill>
      <patternFill patternType="solid">
        <fgColor rgb="FFF2F3F4"/>
        <bgColor rgb="FFF0F3F5"/>
      </patternFill>
    </fill>
    <fill>
      <patternFill patternType="solid">
        <fgColor rgb="FFFFFFFF"/>
        <bgColor rgb="FFF2F3F4"/>
      </patternFill>
    </fill>
    <fill>
      <patternFill patternType="solid">
        <fgColor rgb="FFE8EEF4"/>
        <bgColor rgb="FFF0F3F5"/>
      </patternFill>
    </fill>
    <fill>
      <patternFill patternType="solid">
        <fgColor rgb="FFDEEAF4"/>
        <bgColor rgb="FFE8EEF4"/>
      </patternFill>
    </fill>
    <fill>
      <patternFill patternType="solid">
        <fgColor rgb="FFD5F0EC"/>
        <bgColor rgb="FFDEEAF4"/>
      </patternFill>
    </fill>
    <fill>
      <patternFill patternType="solid">
        <fgColor rgb="FFF0F3F5"/>
        <bgColor rgb="FFF2F3F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2E6B96"/>
      </bottom>
      <diagonal/>
    </border>
    <border>
      <left/>
      <right/>
      <top style="medium">
        <color rgb="FF2E6B96"/>
      </top>
      <bottom/>
      <diagonal/>
    </border>
    <border>
      <left/>
      <right/>
      <top/>
      <bottom style="thin">
        <color rgb="FFD5D8DC"/>
      </bottom>
      <diagonal/>
    </border>
    <border>
      <left style="medium">
        <color rgb="FF2475A8"/>
      </left>
      <right style="thin">
        <color rgb="FFD5D8DC"/>
      </right>
      <top style="thin">
        <color rgb="FFD5D8DC"/>
      </top>
      <bottom/>
      <diagonal/>
    </border>
    <border>
      <left style="medium">
        <color rgb="FF2475A8"/>
      </left>
      <right style="thin">
        <color rgb="FFD5D8DC"/>
      </right>
      <top/>
      <bottom/>
      <diagonal/>
    </border>
    <border>
      <left style="medium">
        <color rgb="FF2475A8"/>
      </left>
      <right style="thin">
        <color rgb="FFD5D8DC"/>
      </right>
      <top/>
      <bottom style="thin">
        <color rgb="FFD5D8DC"/>
      </bottom>
      <diagonal/>
    </border>
    <border>
      <left style="medium">
        <color rgb="FF17A589"/>
      </left>
      <right style="thin">
        <color rgb="FFD5D8DC"/>
      </right>
      <top style="thin">
        <color rgb="FFD5D8DC"/>
      </top>
      <bottom/>
      <diagonal/>
    </border>
    <border>
      <left style="medium">
        <color rgb="FF17A589"/>
      </left>
      <right style="thin">
        <color rgb="FFD5D8DC"/>
      </right>
      <top/>
      <bottom/>
      <diagonal/>
    </border>
    <border>
      <left style="medium">
        <color rgb="FF17A589"/>
      </left>
      <right style="thin">
        <color rgb="FFD5D8DC"/>
      </right>
      <top/>
      <bottom style="thin">
        <color rgb="FFD5D8D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3" fillId="0" borderId="0" xfId="0" applyFont="1" applyAlignment="1">
      <alignment horizontal="left" vertical="center"/>
    </xf>
    <xf numFmtId="0" fontId="12" fillId="8" borderId="0" xfId="0" applyFont="1" applyFill="1" applyAlignment="1">
      <alignment horizontal="left" vertical="center" wrapText="1"/>
    </xf>
    <xf numFmtId="0" fontId="11" fillId="7" borderId="9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166" fontId="10" fillId="7" borderId="8" xfId="0" applyNumberFormat="1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165" fontId="10" fillId="6" borderId="5" xfId="0" applyNumberFormat="1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0" fillId="2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5A8"/>
      <rgbColor rgb="FFD9D9D9"/>
      <rgbColor rgb="FF878787"/>
      <rgbColor rgb="FF9999FF"/>
      <rgbColor rgb="FF993366"/>
      <rgbColor rgb="FFF2F3F4"/>
      <rgbColor rgb="FFD5F0EC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2E6B96"/>
      <rgbColor rgb="FF0000FF"/>
      <rgbColor rgb="FF00CCFF"/>
      <rgbColor rgb="FFDEEAF4"/>
      <rgbColor rgb="FFE8EEF4"/>
      <rgbColor rgb="FFF0F3F5"/>
      <rgbColor rgb="FFADC9E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8C8D"/>
      <rgbColor rgb="FF1B3A52"/>
      <rgbColor rgb="FF17A589"/>
      <rgbColor rgb="FF003300"/>
      <rgbColor rgb="FF4A4A4A"/>
      <rgbColor rgb="FF993300"/>
      <rgbColor rgb="FF993366"/>
      <rgbColor rgb="FF333399"/>
      <rgbColor rgb="FF1B2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Deposits (SAR,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475A8"/>
            </a:solidFill>
            <a:ln w="0">
              <a:solidFill>
                <a:srgbClr val="2475A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'Branch Data'!$A$2:$A$13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'Branch Data'!$B$2:$B$13</c:f>
              <c:numCache>
                <c:formatCode>#,##0</c:formatCode>
                <c:ptCount val="12"/>
                <c:pt idx="0">
                  <c:v>52340000</c:v>
                </c:pt>
                <c:pt idx="1">
                  <c:v>48760000</c:v>
                </c:pt>
                <c:pt idx="2">
                  <c:v>71450000</c:v>
                </c:pt>
                <c:pt idx="3">
                  <c:v>58230000</c:v>
                </c:pt>
                <c:pt idx="4">
                  <c:v>49870000</c:v>
                </c:pt>
                <c:pt idx="5">
                  <c:v>54120000</c:v>
                </c:pt>
                <c:pt idx="6">
                  <c:v>43680000</c:v>
                </c:pt>
                <c:pt idx="7">
                  <c:v>47290000</c:v>
                </c:pt>
                <c:pt idx="8">
                  <c:v>56410000</c:v>
                </c:pt>
                <c:pt idx="9">
                  <c:v>61830000</c:v>
                </c:pt>
                <c:pt idx="10">
                  <c:v>63240000</c:v>
                </c:pt>
                <c:pt idx="11">
                  <c:v>78950000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006-BC6B-862712CE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22505"/>
        <c:axId val="15967750"/>
      </c:barChart>
      <c:catAx>
        <c:axId val="958225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67750"/>
        <c:crosses val="autoZero"/>
        <c:auto val="1"/>
        <c:lblAlgn val="ctr"/>
        <c:lblOffset val="100"/>
        <c:noMultiLvlLbl val="0"/>
      </c:catAx>
      <c:valAx>
        <c:axId val="15967750"/>
        <c:scaling>
          <c:orientation val="minMax"/>
        </c:scaling>
        <c:delete val="0"/>
        <c:axPos val="l"/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8225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Loan Applications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'Branch Data'!$C$1</c:f>
              <c:strCache>
                <c:ptCount val="1"/>
                <c:pt idx="0">
                  <c:v>Loan Applications</c:v>
                </c:pt>
              </c:strCache>
            </c:strRef>
          </c:tx>
          <c:spPr>
            <a:ln w="24840">
              <a:solidFill>
                <a:srgbClr val="17A589"/>
              </a:solidFill>
              <a:round/>
            </a:ln>
          </c:spPr>
          <c:marker>
            <c:symbol val="circle"/>
            <c:size val="6"/>
            <c:spPr>
              <a:solidFill>
                <a:srgbClr val="17A58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'Branch Data'!$A$2:$A$13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'Branch Data'!$C$2:$C$13</c:f>
              <c:numCache>
                <c:formatCode>#,##0</c:formatCode>
                <c:ptCount val="12"/>
                <c:pt idx="0">
                  <c:v>134</c:v>
                </c:pt>
                <c:pt idx="1">
                  <c:v>118</c:v>
                </c:pt>
                <c:pt idx="2">
                  <c:v>87</c:v>
                </c:pt>
                <c:pt idx="3">
                  <c:v>162</c:v>
                </c:pt>
                <c:pt idx="4">
                  <c:v>178</c:v>
                </c:pt>
                <c:pt idx="5">
                  <c:v>141</c:v>
                </c:pt>
                <c:pt idx="6">
                  <c:v>98</c:v>
                </c:pt>
                <c:pt idx="7">
                  <c:v>112</c:v>
                </c:pt>
                <c:pt idx="8">
                  <c:v>129</c:v>
                </c:pt>
                <c:pt idx="9">
                  <c:v>143</c:v>
                </c:pt>
                <c:pt idx="10">
                  <c:v>156</c:v>
                </c:pt>
                <c:pt idx="11">
                  <c:v>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A1-436F-82B1-E53CC463D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347556"/>
        <c:axId val="61674267"/>
      </c:lineChart>
      <c:catAx>
        <c:axId val="483475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74267"/>
        <c:crosses val="autoZero"/>
        <c:auto val="1"/>
        <c:lblAlgn val="ctr"/>
        <c:lblOffset val="100"/>
        <c:noMultiLvlLbl val="0"/>
      </c:catAx>
      <c:valAx>
        <c:axId val="6167426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475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13</xdr:col>
      <xdr:colOff>114840</xdr:colOff>
      <xdr:row>35</xdr:row>
      <xdr:rowOff>67320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35</xdr:row>
      <xdr:rowOff>82440</xdr:rowOff>
    </xdr:from>
    <xdr:to>
      <xdr:col>13</xdr:col>
      <xdr:colOff>114840</xdr:colOff>
      <xdr:row>53</xdr:row>
      <xdr:rowOff>118080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2"/>
  </sheetPr>
  <dimension ref="A1:F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18" customWidth="1"/>
    <col min="4" max="5" width="15" customWidth="1"/>
    <col min="6" max="6" width="40" customWidth="1"/>
  </cols>
  <sheetData>
    <row r="1" spans="1:6" ht="21.75" customHeigh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8" customHeight="1" x14ac:dyDescent="0.35">
      <c r="A2" s="14" t="s">
        <v>6</v>
      </c>
      <c r="B2" s="15">
        <v>52340000</v>
      </c>
      <c r="C2" s="15">
        <v>134</v>
      </c>
      <c r="D2" s="16" t="s">
        <v>7</v>
      </c>
      <c r="E2" s="16" t="s">
        <v>7</v>
      </c>
      <c r="F2" s="17" t="s">
        <v>8</v>
      </c>
    </row>
    <row r="3" spans="1:6" ht="18" customHeight="1" x14ac:dyDescent="0.35">
      <c r="A3" s="18" t="s">
        <v>9</v>
      </c>
      <c r="B3" s="19">
        <v>48760000</v>
      </c>
      <c r="C3" s="19">
        <v>118</v>
      </c>
      <c r="D3" s="20">
        <f t="shared" ref="D3:D13" si="0">(B3-B2)/B2</f>
        <v>-6.8398930072602213E-2</v>
      </c>
      <c r="E3" s="20">
        <f t="shared" ref="E3:E13" si="1">(C3-C2)/C2</f>
        <v>-0.11940298507462686</v>
      </c>
      <c r="F3" s="21" t="s">
        <v>10</v>
      </c>
    </row>
    <row r="4" spans="1:6" ht="18" customHeight="1" x14ac:dyDescent="0.35">
      <c r="A4" s="14" t="s">
        <v>11</v>
      </c>
      <c r="B4" s="15">
        <v>71450000</v>
      </c>
      <c r="C4" s="15">
        <v>87</v>
      </c>
      <c r="D4" s="22">
        <f t="shared" si="0"/>
        <v>0.46534044298605415</v>
      </c>
      <c r="E4" s="22">
        <f t="shared" si="1"/>
        <v>-0.26271186440677968</v>
      </c>
      <c r="F4" s="17" t="s">
        <v>12</v>
      </c>
    </row>
    <row r="5" spans="1:6" ht="18" customHeight="1" x14ac:dyDescent="0.35">
      <c r="A5" s="18" t="s">
        <v>13</v>
      </c>
      <c r="B5" s="19">
        <v>58230000</v>
      </c>
      <c r="C5" s="19">
        <v>162</v>
      </c>
      <c r="D5" s="20">
        <f t="shared" si="0"/>
        <v>-0.18502449265220433</v>
      </c>
      <c r="E5" s="20">
        <f t="shared" si="1"/>
        <v>0.86206896551724133</v>
      </c>
      <c r="F5" s="21" t="s">
        <v>14</v>
      </c>
    </row>
    <row r="6" spans="1:6" ht="18" customHeight="1" x14ac:dyDescent="0.35">
      <c r="A6" s="14" t="s">
        <v>15</v>
      </c>
      <c r="B6" s="15">
        <v>49870000</v>
      </c>
      <c r="C6" s="15">
        <v>178</v>
      </c>
      <c r="D6" s="22">
        <f t="shared" si="0"/>
        <v>-0.14356860724712348</v>
      </c>
      <c r="E6" s="22">
        <f t="shared" si="1"/>
        <v>9.8765432098765427E-2</v>
      </c>
      <c r="F6" s="17" t="s">
        <v>16</v>
      </c>
    </row>
    <row r="7" spans="1:6" ht="18" customHeight="1" x14ac:dyDescent="0.35">
      <c r="A7" s="18" t="s">
        <v>17</v>
      </c>
      <c r="B7" s="19">
        <v>54120000</v>
      </c>
      <c r="C7" s="19">
        <v>141</v>
      </c>
      <c r="D7" s="20">
        <f t="shared" si="0"/>
        <v>8.5221576097854426E-2</v>
      </c>
      <c r="E7" s="20">
        <f t="shared" si="1"/>
        <v>-0.20786516853932585</v>
      </c>
      <c r="F7" s="21" t="s">
        <v>18</v>
      </c>
    </row>
    <row r="8" spans="1:6" ht="18" customHeight="1" x14ac:dyDescent="0.35">
      <c r="A8" s="14" t="s">
        <v>19</v>
      </c>
      <c r="B8" s="15">
        <v>43680000</v>
      </c>
      <c r="C8" s="15">
        <v>98</v>
      </c>
      <c r="D8" s="22">
        <f t="shared" si="0"/>
        <v>-0.19290465631929046</v>
      </c>
      <c r="E8" s="22">
        <f t="shared" si="1"/>
        <v>-0.30496453900709219</v>
      </c>
      <c r="F8" s="17" t="s">
        <v>20</v>
      </c>
    </row>
    <row r="9" spans="1:6" ht="18" customHeight="1" x14ac:dyDescent="0.35">
      <c r="A9" s="18" t="s">
        <v>21</v>
      </c>
      <c r="B9" s="19">
        <v>47290000</v>
      </c>
      <c r="C9" s="19">
        <v>112</v>
      </c>
      <c r="D9" s="20">
        <f t="shared" si="0"/>
        <v>8.2646520146520144E-2</v>
      </c>
      <c r="E9" s="20">
        <f t="shared" si="1"/>
        <v>0.14285714285714285</v>
      </c>
      <c r="F9" s="21" t="s">
        <v>22</v>
      </c>
    </row>
    <row r="10" spans="1:6" ht="18" customHeight="1" x14ac:dyDescent="0.35">
      <c r="A10" s="14" t="s">
        <v>23</v>
      </c>
      <c r="B10" s="15">
        <v>56410000</v>
      </c>
      <c r="C10" s="15">
        <v>129</v>
      </c>
      <c r="D10" s="22">
        <f t="shared" si="0"/>
        <v>0.19285261154578134</v>
      </c>
      <c r="E10" s="22">
        <f t="shared" si="1"/>
        <v>0.15178571428571427</v>
      </c>
      <c r="F10" s="17" t="s">
        <v>24</v>
      </c>
    </row>
    <row r="11" spans="1:6" ht="18" customHeight="1" x14ac:dyDescent="0.35">
      <c r="A11" s="18" t="s">
        <v>25</v>
      </c>
      <c r="B11" s="19">
        <v>61830000</v>
      </c>
      <c r="C11" s="19">
        <v>143</v>
      </c>
      <c r="D11" s="20">
        <f t="shared" si="0"/>
        <v>9.608225491934054E-2</v>
      </c>
      <c r="E11" s="20">
        <f t="shared" si="1"/>
        <v>0.10852713178294573</v>
      </c>
      <c r="F11" s="21" t="s">
        <v>26</v>
      </c>
    </row>
    <row r="12" spans="1:6" ht="18" customHeight="1" x14ac:dyDescent="0.35">
      <c r="A12" s="14" t="s">
        <v>27</v>
      </c>
      <c r="B12" s="15">
        <v>63240000</v>
      </c>
      <c r="C12" s="15">
        <v>156</v>
      </c>
      <c r="D12" s="22">
        <f t="shared" si="0"/>
        <v>2.2804463852498787E-2</v>
      </c>
      <c r="E12" s="22">
        <f t="shared" si="1"/>
        <v>9.0909090909090912E-2</v>
      </c>
      <c r="F12" s="17" t="s">
        <v>28</v>
      </c>
    </row>
    <row r="13" spans="1:6" ht="18" customHeight="1" x14ac:dyDescent="0.35">
      <c r="A13" s="18" t="s">
        <v>29</v>
      </c>
      <c r="B13" s="19">
        <v>78950000</v>
      </c>
      <c r="C13" s="19">
        <v>121</v>
      </c>
      <c r="D13" s="20">
        <f t="shared" si="0"/>
        <v>0.24841872232764073</v>
      </c>
      <c r="E13" s="20">
        <f t="shared" si="1"/>
        <v>-0.22435897435897437</v>
      </c>
      <c r="F13" s="21" t="s">
        <v>30</v>
      </c>
    </row>
    <row r="14" spans="1:6" ht="19.5" customHeight="1" x14ac:dyDescent="0.35">
      <c r="A14" s="23" t="s">
        <v>31</v>
      </c>
      <c r="B14" s="24">
        <f>SUM(B2:B13)</f>
        <v>686170000</v>
      </c>
      <c r="C14" s="24">
        <f>SUM(C2:C13)</f>
        <v>1579</v>
      </c>
      <c r="D14" s="25"/>
      <c r="E14" s="25"/>
      <c r="F14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75A8"/>
  </sheetPr>
  <dimension ref="A1:R57"/>
  <sheetViews>
    <sheetView showGridLines="0" tabSelected="1" topLeftCell="A13" zoomScale="70" zoomScaleNormal="70" workbookViewId="0">
      <selection activeCell="B56" sqref="B56:Q56"/>
    </sheetView>
  </sheetViews>
  <sheetFormatPr defaultColWidth="8.6328125" defaultRowHeight="14.5" x14ac:dyDescent="0.35"/>
  <cols>
    <col min="1" max="1" width="1.54296875" customWidth="1"/>
    <col min="2" max="8" width="9" customWidth="1"/>
    <col min="9" max="9" width="1.54296875" customWidth="1"/>
    <col min="10" max="17" width="9" customWidth="1"/>
    <col min="18" max="18" width="1.54296875" customWidth="1"/>
  </cols>
  <sheetData>
    <row r="1" spans="1:18" ht="6" customHeight="1" x14ac:dyDescent="0.3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37.5" customHeight="1" x14ac:dyDescent="0.35">
      <c r="A2" s="26"/>
      <c r="B2" s="12" t="s">
        <v>32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26"/>
    </row>
    <row r="3" spans="1:18" ht="18" customHeight="1" x14ac:dyDescent="0.35">
      <c r="A3" s="26"/>
      <c r="B3" s="11" t="s">
        <v>33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26"/>
    </row>
    <row r="4" spans="1:18" ht="12" customHeight="1" x14ac:dyDescent="0.35"/>
    <row r="5" spans="1:18" ht="15" customHeight="1" x14ac:dyDescent="0.35">
      <c r="B5" s="10" t="s">
        <v>34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8" ht="7.5" customHeight="1" x14ac:dyDescent="0.35"/>
    <row r="7" spans="1:18" ht="19.5" customHeight="1" x14ac:dyDescent="0.35">
      <c r="B7" s="9" t="s">
        <v>35</v>
      </c>
      <c r="C7" s="9"/>
      <c r="D7" s="9"/>
      <c r="E7" s="9"/>
      <c r="F7" s="9"/>
      <c r="G7" s="9"/>
      <c r="H7" s="9"/>
      <c r="J7" s="9" t="s">
        <v>36</v>
      </c>
      <c r="K7" s="9"/>
      <c r="L7" s="9"/>
      <c r="M7" s="9"/>
      <c r="N7" s="9"/>
      <c r="O7" s="9"/>
      <c r="P7" s="9"/>
      <c r="Q7" s="9"/>
    </row>
    <row r="8" spans="1:18" ht="37.5" customHeight="1" x14ac:dyDescent="0.35">
      <c r="B8" s="8">
        <f>('Branch Data'!B14)/1000000</f>
        <v>686.17</v>
      </c>
      <c r="C8" s="8"/>
      <c r="D8" s="8"/>
      <c r="E8" s="8"/>
      <c r="F8" s="8"/>
      <c r="G8" s="8"/>
      <c r="H8" s="8"/>
      <c r="J8" s="8">
        <f>(AVERAGE('Branch Data'!B2:B13))/1000000</f>
        <v>57.180833333333332</v>
      </c>
      <c r="K8" s="8"/>
      <c r="L8" s="8"/>
      <c r="M8" s="8"/>
      <c r="N8" s="8"/>
      <c r="O8" s="8"/>
      <c r="P8" s="8"/>
      <c r="Q8" s="8"/>
    </row>
    <row r="9" spans="1:18" ht="18" customHeight="1" x14ac:dyDescent="0.35">
      <c r="B9" s="7" t="s">
        <v>37</v>
      </c>
      <c r="C9" s="7"/>
      <c r="D9" s="7"/>
      <c r="E9" s="7"/>
      <c r="F9" s="7"/>
      <c r="G9" s="7"/>
      <c r="H9" s="7"/>
      <c r="J9" s="7" t="s">
        <v>38</v>
      </c>
      <c r="K9" s="7"/>
      <c r="L9" s="7"/>
      <c r="M9" s="7"/>
      <c r="N9" s="7"/>
      <c r="O9" s="7"/>
      <c r="P9" s="7"/>
      <c r="Q9" s="7"/>
    </row>
    <row r="10" spans="1:18" ht="7.5" customHeight="1" x14ac:dyDescent="0.35"/>
    <row r="11" spans="1:18" ht="19.5" customHeight="1" x14ac:dyDescent="0.35">
      <c r="B11" s="6" t="s">
        <v>2</v>
      </c>
      <c r="C11" s="6"/>
      <c r="D11" s="6"/>
      <c r="E11" s="6"/>
      <c r="F11" s="6"/>
      <c r="G11" s="6"/>
      <c r="H11" s="6"/>
      <c r="J11" s="6" t="s">
        <v>39</v>
      </c>
      <c r="K11" s="6"/>
      <c r="L11" s="6"/>
      <c r="M11" s="6"/>
      <c r="N11" s="6"/>
      <c r="O11" s="6"/>
      <c r="P11" s="6"/>
      <c r="Q11" s="6"/>
    </row>
    <row r="12" spans="1:18" ht="37.5" customHeight="1" x14ac:dyDescent="0.35">
      <c r="B12" s="5">
        <f>'Branch Data'!C14</f>
        <v>1579</v>
      </c>
      <c r="C12" s="5"/>
      <c r="D12" s="5"/>
      <c r="E12" s="5"/>
      <c r="F12" s="5"/>
      <c r="G12" s="5"/>
      <c r="H12" s="5"/>
      <c r="J12" s="4" t="str">
        <f>INDEX('Branch Data'!A2:A13,MATCH(MAX('Branch Data'!C2:C13),'Branch Data'!C2:C13,0))</f>
        <v>May 2024</v>
      </c>
      <c r="K12" s="4"/>
      <c r="L12" s="4"/>
      <c r="M12" s="4"/>
      <c r="N12" s="4"/>
      <c r="O12" s="4"/>
      <c r="P12" s="4"/>
      <c r="Q12" s="4"/>
    </row>
    <row r="13" spans="1:18" ht="18" customHeight="1" x14ac:dyDescent="0.35">
      <c r="B13" s="3" t="s">
        <v>37</v>
      </c>
      <c r="C13" s="3"/>
      <c r="D13" s="3"/>
      <c r="E13" s="3"/>
      <c r="F13" s="3"/>
      <c r="G13" s="3"/>
      <c r="H13" s="3"/>
      <c r="J13" s="3" t="s">
        <v>40</v>
      </c>
      <c r="K13" s="3"/>
      <c r="L13" s="3"/>
      <c r="M13" s="3"/>
      <c r="N13" s="3"/>
      <c r="O13" s="3"/>
      <c r="P13" s="3"/>
      <c r="Q13" s="3"/>
    </row>
    <row r="14" spans="1:18" ht="13.5" customHeight="1" x14ac:dyDescent="0.35">
      <c r="B14" s="10" t="s">
        <v>41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8" ht="7.5" customHeight="1" x14ac:dyDescent="0.35"/>
    <row r="16" spans="1:18" ht="12.75" customHeight="1" x14ac:dyDescent="0.35"/>
    <row r="17" ht="12.75" customHeight="1" x14ac:dyDescent="0.35"/>
    <row r="18" ht="12.75" customHeight="1" x14ac:dyDescent="0.35"/>
    <row r="19" ht="12.75" customHeight="1" x14ac:dyDescent="0.35"/>
    <row r="20" ht="12.75" customHeight="1" x14ac:dyDescent="0.35"/>
    <row r="21" ht="12.75" customHeight="1" x14ac:dyDescent="0.35"/>
    <row r="22" ht="12.75" customHeight="1" x14ac:dyDescent="0.35"/>
    <row r="23" ht="12.75" customHeight="1" x14ac:dyDescent="0.35"/>
    <row r="24" ht="12.75" customHeight="1" x14ac:dyDescent="0.35"/>
    <row r="25" ht="12.75" customHeight="1" x14ac:dyDescent="0.35"/>
    <row r="26" ht="12.75" customHeight="1" x14ac:dyDescent="0.35"/>
    <row r="27" ht="12.75" customHeight="1" x14ac:dyDescent="0.35"/>
    <row r="28" ht="7.5" customHeight="1" x14ac:dyDescent="0.35"/>
    <row r="29" ht="12.75" customHeight="1" x14ac:dyDescent="0.35"/>
    <row r="30" ht="12.75" customHeight="1" x14ac:dyDescent="0.35"/>
    <row r="31" ht="12.75" customHeight="1" x14ac:dyDescent="0.35"/>
    <row r="32" ht="12.75" customHeight="1" x14ac:dyDescent="0.35"/>
    <row r="33" spans="1:18" ht="12.75" customHeight="1" x14ac:dyDescent="0.35"/>
    <row r="34" spans="1:18" ht="12.75" customHeight="1" x14ac:dyDescent="0.35"/>
    <row r="35" spans="1:18" ht="12.75" customHeight="1" x14ac:dyDescent="0.35"/>
    <row r="36" spans="1:18" ht="12.75" customHeight="1" x14ac:dyDescent="0.35"/>
    <row r="37" spans="1:18" ht="12.75" customHeight="1" x14ac:dyDescent="0.35"/>
    <row r="38" spans="1:18" ht="12.75" customHeight="1" x14ac:dyDescent="0.35"/>
    <row r="39" spans="1:18" ht="12.75" customHeight="1" x14ac:dyDescent="0.35"/>
    <row r="40" spans="1:18" ht="12.75" customHeight="1" x14ac:dyDescent="0.35"/>
    <row r="41" spans="1:18" ht="9.75" customHeight="1" x14ac:dyDescent="0.35">
      <c r="A41" s="27"/>
      <c r="R41" s="27"/>
    </row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2.75" customHeight="1" x14ac:dyDescent="0.35">
      <c r="B45" s="1" t="s">
        <v>45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55" spans="1:17" ht="189" customHeight="1" x14ac:dyDescent="0.35">
      <c r="B55" s="2" t="s">
        <v>42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68" customHeight="1" x14ac:dyDescent="0.35">
      <c r="B56" s="2" t="s">
        <v>43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68" customHeight="1" x14ac:dyDescent="0.35">
      <c r="A57" s="2" t="s">
        <v>44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</sheetData>
  <mergeCells count="20">
    <mergeCell ref="B55:Q55"/>
    <mergeCell ref="B56:Q56"/>
    <mergeCell ref="A57:P57"/>
    <mergeCell ref="B45:Q45"/>
    <mergeCell ref="B12:H12"/>
    <mergeCell ref="J12:Q12"/>
    <mergeCell ref="B13:H13"/>
    <mergeCell ref="J13:Q13"/>
    <mergeCell ref="B14:Q14"/>
    <mergeCell ref="B8:H8"/>
    <mergeCell ref="J8:Q8"/>
    <mergeCell ref="B9:H9"/>
    <mergeCell ref="J9:Q9"/>
    <mergeCell ref="B11:H11"/>
    <mergeCell ref="J11:Q11"/>
    <mergeCell ref="B2:Q2"/>
    <mergeCell ref="B3:Q3"/>
    <mergeCell ref="B5:Q5"/>
    <mergeCell ref="B7:H7"/>
    <mergeCell ref="J7:Q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Faisal Alsurayhi</cp:lastModifiedBy>
  <cp:revision>3</cp:revision>
  <dcterms:created xsi:type="dcterms:W3CDTF">2026-03-16T04:41:25Z</dcterms:created>
  <dcterms:modified xsi:type="dcterms:W3CDTF">2026-03-16T05:20:25Z</dcterms:modified>
  <dc:language>en-US</dc:language>
</cp:coreProperties>
</file>